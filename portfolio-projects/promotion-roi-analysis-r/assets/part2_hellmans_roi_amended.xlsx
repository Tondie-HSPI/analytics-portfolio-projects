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520" yWindow="4040" windowWidth="27640" windowHeight="16940" tabRatio="600" firstSheet="0" activeTab="0" autoFilterDateGrouping="1"/>
  </bookViews>
  <sheets>
    <sheet xmlns:r="http://schemas.openxmlformats.org/officeDocument/2006/relationships" name="ROI_Q3_Q4" sheetId="1" state="visible" r:id="rId1"/>
    <sheet xmlns:r="http://schemas.openxmlformats.org/officeDocument/2006/relationships" name="ROI_Q5" sheetId="2" state="visible" r:id="rId2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0"/>
    <numFmt numFmtId="166" formatCode="$#,##0.00;[Red]($#,##0.00)"/>
    <numFmt numFmtId="167" formatCode="#,##0.0"/>
  </numFmts>
  <fonts count="8">
    <font>
      <name val="Calibri"/>
      <family val="2"/>
      <color theme="1"/>
      <sz val="12"/>
      <scheme val="minor"/>
    </font>
    <font>
      <name val="Calibri Light"/>
      <family val="1"/>
      <sz val="10"/>
      <scheme val="major"/>
    </font>
    <font>
      <name val="Calibri Light"/>
      <family val="1"/>
      <color indexed="18"/>
      <sz val="10"/>
      <scheme val="major"/>
    </font>
    <font>
      <name val="Calibri Light"/>
      <family val="1"/>
      <b val="1"/>
      <sz val="10"/>
      <scheme val="major"/>
    </font>
    <font>
      <name val="Arial"/>
      <family val="2"/>
      <sz val="10"/>
    </font>
    <font>
      <name val="Calibri Light"/>
      <family val="1"/>
      <sz val="12"/>
      <scheme val="major"/>
    </font>
    <font>
      <name val="Calibri Light"/>
      <family val="1"/>
      <color indexed="18"/>
      <sz val="12"/>
      <scheme val="major"/>
    </font>
    <font>
      <name val="Calibri Light"/>
      <family val="1"/>
      <b val="1"/>
      <sz val="12"/>
      <scheme val="maj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90">
    <xf numFmtId="0" fontId="0" fillId="0" borderId="0" pivotButton="0" quotePrefix="0" xfId="0"/>
    <xf numFmtId="0" fontId="1" fillId="0" borderId="0" pivotButton="0" quotePrefix="0" xfId="1"/>
    <xf numFmtId="0" fontId="1" fillId="0" borderId="8" pivotButton="0" quotePrefix="0" xfId="1"/>
    <xf numFmtId="164" fontId="3" fillId="0" borderId="10" pivotButton="0" quotePrefix="0" xfId="1"/>
    <xf numFmtId="164" fontId="3" fillId="0" borderId="9" pivotButton="0" quotePrefix="0" xfId="1"/>
    <xf numFmtId="0" fontId="2" fillId="0" borderId="9" pivotButton="0" quotePrefix="0" xfId="1"/>
    <xf numFmtId="3" fontId="1" fillId="0" borderId="4" pivotButton="0" quotePrefix="0" xfId="1"/>
    <xf numFmtId="3" fontId="1" fillId="0" borderId="10" pivotButton="0" quotePrefix="0" xfId="1"/>
    <xf numFmtId="3" fontId="1" fillId="0" borderId="9" pivotButton="0" quotePrefix="0" xfId="1"/>
    <xf numFmtId="0" fontId="1" fillId="0" borderId="9" pivotButton="0" quotePrefix="0" xfId="1"/>
    <xf numFmtId="3" fontId="1" fillId="0" borderId="3" pivotButton="0" quotePrefix="0" xfId="1"/>
    <xf numFmtId="3" fontId="1" fillId="0" borderId="0" pivotButton="0" quotePrefix="0" xfId="1"/>
    <xf numFmtId="3" fontId="1" fillId="0" borderId="8" pivotButton="0" quotePrefix="0" xfId="1"/>
    <xf numFmtId="0" fontId="2" fillId="0" borderId="8" pivotButton="0" quotePrefix="0" xfId="1"/>
    <xf numFmtId="0" fontId="1" fillId="0" borderId="10" pivotButton="0" quotePrefix="0" xfId="1"/>
    <xf numFmtId="0" fontId="1" fillId="0" borderId="2" pivotButton="0" quotePrefix="0" xfId="1"/>
    <xf numFmtId="2" fontId="1" fillId="0" borderId="0" pivotButton="0" quotePrefix="0" xfId="1"/>
    <xf numFmtId="2" fontId="1" fillId="0" borderId="11" pivotButton="0" quotePrefix="0" xfId="1"/>
    <xf numFmtId="2" fontId="1" fillId="0" borderId="1" pivotButton="0" quotePrefix="0" xfId="1"/>
    <xf numFmtId="0" fontId="1" fillId="0" borderId="4" pivotButton="0" quotePrefix="0" xfId="1"/>
    <xf numFmtId="165" fontId="1" fillId="0" borderId="0" pivotButton="0" quotePrefix="0" xfId="1"/>
    <xf numFmtId="165" fontId="1" fillId="0" borderId="8" pivotButton="0" quotePrefix="0" xfId="1"/>
    <xf numFmtId="1" fontId="1" fillId="0" borderId="0" pivotButton="0" quotePrefix="0" xfId="1"/>
    <xf numFmtId="1" fontId="1" fillId="0" borderId="8" pivotButton="0" quotePrefix="0" xfId="1"/>
    <xf numFmtId="0" fontId="1" fillId="0" borderId="5" pivotButton="0" quotePrefix="0" xfId="1"/>
    <xf numFmtId="0" fontId="2" fillId="0" borderId="7" pivotButton="0" quotePrefix="0" xfId="1"/>
    <xf numFmtId="0" fontId="2" fillId="0" borderId="6" pivotButton="0" quotePrefix="0" xfId="1"/>
    <xf numFmtId="0" fontId="1" fillId="0" borderId="7" pivotButton="0" quotePrefix="0" xfId="1"/>
    <xf numFmtId="0" fontId="1" fillId="0" borderId="6" pivotButton="0" quotePrefix="0" xfId="1"/>
    <xf numFmtId="3" fontId="5" fillId="0" borderId="0" pivotButton="0" quotePrefix="0" xfId="1"/>
    <xf numFmtId="0" fontId="5" fillId="0" borderId="0" pivotButton="0" quotePrefix="0" xfId="1"/>
    <xf numFmtId="0" fontId="5" fillId="0" borderId="6" pivotButton="0" quotePrefix="0" xfId="1"/>
    <xf numFmtId="0" fontId="6" fillId="0" borderId="6" pivotButton="0" quotePrefix="0" xfId="1"/>
    <xf numFmtId="0" fontId="5" fillId="0" borderId="7" pivotButton="0" quotePrefix="0" xfId="1"/>
    <xf numFmtId="0" fontId="6" fillId="0" borderId="7" pivotButton="0" quotePrefix="0" xfId="1"/>
    <xf numFmtId="0" fontId="5" fillId="0" borderId="5" pivotButton="0" quotePrefix="0" xfId="1"/>
    <xf numFmtId="0" fontId="5" fillId="0" borderId="8" pivotButton="0" quotePrefix="0" xfId="1"/>
    <xf numFmtId="0" fontId="6" fillId="0" borderId="8" pivotButton="0" quotePrefix="0" xfId="1"/>
    <xf numFmtId="165" fontId="5" fillId="0" borderId="8" pivotButton="0" quotePrefix="0" xfId="1"/>
    <xf numFmtId="165" fontId="5" fillId="0" borderId="0" pivotButton="0" quotePrefix="0" xfId="1"/>
    <xf numFmtId="1" fontId="5" fillId="0" borderId="8" pivotButton="0" quotePrefix="0" xfId="1"/>
    <xf numFmtId="1" fontId="5" fillId="0" borderId="0" pivotButton="0" quotePrefix="0" xfId="1"/>
    <xf numFmtId="0" fontId="5" fillId="0" borderId="9" pivotButton="0" quotePrefix="0" xfId="1"/>
    <xf numFmtId="0" fontId="5" fillId="0" borderId="10" pivotButton="0" quotePrefix="0" xfId="1"/>
    <xf numFmtId="0" fontId="5" fillId="0" borderId="4" pivotButton="0" quotePrefix="0" xfId="1"/>
    <xf numFmtId="2" fontId="5" fillId="0" borderId="1" pivotButton="0" quotePrefix="0" xfId="1"/>
    <xf numFmtId="2" fontId="5" fillId="0" borderId="11" pivotButton="0" quotePrefix="0" xfId="1"/>
    <xf numFmtId="2" fontId="5" fillId="0" borderId="0" pivotButton="0" quotePrefix="0" xfId="1"/>
    <xf numFmtId="0" fontId="5" fillId="0" borderId="2" pivotButton="0" quotePrefix="0" xfId="1"/>
    <xf numFmtId="3" fontId="5" fillId="0" borderId="8" pivotButton="0" quotePrefix="0" xfId="1"/>
    <xf numFmtId="3" fontId="5" fillId="0" borderId="9" pivotButton="0" quotePrefix="0" xfId="1"/>
    <xf numFmtId="3" fontId="5" fillId="0" borderId="10" pivotButton="0" quotePrefix="0" xfId="1"/>
    <xf numFmtId="3" fontId="5" fillId="0" borderId="3" pivotButton="0" quotePrefix="0" xfId="1"/>
    <xf numFmtId="3" fontId="5" fillId="0" borderId="4" pivotButton="0" quotePrefix="0" xfId="1"/>
    <xf numFmtId="0" fontId="6" fillId="0" borderId="9" pivotButton="0" quotePrefix="0" xfId="1"/>
    <xf numFmtId="164" fontId="7" fillId="0" borderId="9" pivotButton="0" quotePrefix="0" xfId="1"/>
    <xf numFmtId="164" fontId="7" fillId="0" borderId="10" pivotButton="0" quotePrefix="0" xfId="1"/>
    <xf numFmtId="165" fontId="1" fillId="0" borderId="8" pivotButton="0" quotePrefix="0" xfId="1"/>
    <xf numFmtId="165" fontId="1" fillId="0" borderId="0" pivotButton="0" quotePrefix="0" xfId="1"/>
    <xf numFmtId="165" fontId="1" fillId="0" borderId="1" pivotButton="0" quotePrefix="0" xfId="1"/>
    <xf numFmtId="165" fontId="1" fillId="0" borderId="11" pivotButton="0" quotePrefix="0" xfId="1"/>
    <xf numFmtId="166" fontId="1" fillId="0" borderId="8" pivotButton="0" quotePrefix="0" xfId="1"/>
    <xf numFmtId="166" fontId="0" fillId="0" borderId="0" pivotButton="0" quotePrefix="0" xfId="0"/>
    <xf numFmtId="166" fontId="1" fillId="0" borderId="0" pivotButton="0" quotePrefix="0" xfId="1"/>
    <xf numFmtId="167" fontId="1" fillId="0" borderId="8" pivotButton="0" quotePrefix="0" xfId="1"/>
    <xf numFmtId="167" fontId="1" fillId="0" borderId="0" pivotButton="0" quotePrefix="0" xfId="1"/>
    <xf numFmtId="167" fontId="1" fillId="0" borderId="9" pivotButton="0" quotePrefix="0" xfId="1"/>
    <xf numFmtId="167" fontId="1" fillId="0" borderId="10" pivotButton="0" quotePrefix="0" xfId="1"/>
    <xf numFmtId="166" fontId="1" fillId="0" borderId="3" pivotButton="0" quotePrefix="0" xfId="1"/>
    <xf numFmtId="166" fontId="1" fillId="0" borderId="9" pivotButton="0" quotePrefix="0" xfId="1"/>
    <xf numFmtId="166" fontId="1" fillId="0" borderId="10" pivotButton="0" quotePrefix="0" xfId="1"/>
    <xf numFmtId="166" fontId="1" fillId="0" borderId="4" pivotButton="0" quotePrefix="0" xfId="1"/>
    <xf numFmtId="164" fontId="3" fillId="0" borderId="9" pivotButton="0" quotePrefix="0" xfId="1"/>
    <xf numFmtId="164" fontId="3" fillId="0" borderId="10" pivotButton="0" quotePrefix="0" xfId="1"/>
    <xf numFmtId="165" fontId="5" fillId="0" borderId="8" pivotButton="0" quotePrefix="0" xfId="1"/>
    <xf numFmtId="165" fontId="5" fillId="0" borderId="0" pivotButton="0" quotePrefix="0" xfId="1"/>
    <xf numFmtId="165" fontId="5" fillId="0" borderId="1" pivotButton="0" quotePrefix="0" xfId="1"/>
    <xf numFmtId="165" fontId="5" fillId="0" borderId="11" pivotButton="0" quotePrefix="0" xfId="1"/>
    <xf numFmtId="166" fontId="5" fillId="0" borderId="8" pivotButton="0" quotePrefix="0" xfId="1"/>
    <xf numFmtId="166" fontId="5" fillId="0" borderId="0" pivotButton="0" quotePrefix="0" xfId="1"/>
    <xf numFmtId="167" fontId="5" fillId="0" borderId="8" pivotButton="0" quotePrefix="0" xfId="1"/>
    <xf numFmtId="167" fontId="5" fillId="0" borderId="0" pivotButton="0" quotePrefix="0" xfId="1"/>
    <xf numFmtId="167" fontId="5" fillId="0" borderId="9" pivotButton="0" quotePrefix="0" xfId="1"/>
    <xf numFmtId="167" fontId="5" fillId="0" borderId="10" pivotButton="0" quotePrefix="0" xfId="1"/>
    <xf numFmtId="166" fontId="5" fillId="0" borderId="3" pivotButton="0" quotePrefix="0" xfId="1"/>
    <xf numFmtId="166" fontId="5" fillId="0" borderId="9" pivotButton="0" quotePrefix="0" xfId="1"/>
    <xf numFmtId="166" fontId="5" fillId="0" borderId="10" pivotButton="0" quotePrefix="0" xfId="1"/>
    <xf numFmtId="166" fontId="5" fillId="0" borderId="4" pivotButton="0" quotePrefix="0" xfId="1"/>
    <xf numFmtId="164" fontId="7" fillId="0" borderId="9" pivotButton="0" quotePrefix="0" xfId="1"/>
    <xf numFmtId="164" fontId="7" fillId="0" borderId="10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48"/>
  <sheetViews>
    <sheetView tabSelected="1" zoomScale="125" workbookViewId="0">
      <pane xSplit="2" ySplit="10" topLeftCell="C11" activePane="bottomRight" state="frozen"/>
      <selection pane="topRight" activeCell="A1" sqref="A1"/>
      <selection pane="bottomLeft" activeCell="A1" sqref="A1"/>
      <selection pane="bottomRight" activeCell="C34" sqref="C34"/>
    </sheetView>
  </sheetViews>
  <sheetFormatPr baseColWidth="10" defaultColWidth="8.83203125" defaultRowHeight="14"/>
  <cols>
    <col width="2.33203125" customWidth="1" style="1" min="1" max="1"/>
    <col width="23.83203125" customWidth="1" style="1" min="2" max="2"/>
    <col width="8.83203125" customWidth="1" style="1" min="3" max="8"/>
    <col width="16.33203125" customWidth="1" style="1" min="9" max="9"/>
    <col width="24.6640625" customWidth="1" style="1" min="10" max="10"/>
    <col width="8.83203125" customWidth="1" style="1" min="11" max="16384"/>
  </cols>
  <sheetData>
    <row r="1">
      <c r="B1" s="11" t="n"/>
    </row>
    <row r="2">
      <c r="B2" s="28" t="n"/>
      <c r="C2" s="26" t="inlineStr">
        <is>
          <t>Dominick's</t>
        </is>
      </c>
      <c r="D2" s="27" t="n"/>
      <c r="E2" s="27" t="n"/>
      <c r="F2" s="26" t="inlineStr">
        <is>
          <t>Jewel-Osco</t>
        </is>
      </c>
      <c r="G2" s="25" t="n"/>
      <c r="H2" s="24" t="n"/>
      <c r="I2" s="2" t="n"/>
    </row>
    <row r="3">
      <c r="B3" s="13" t="inlineStr">
        <is>
          <t>Regression estimates</t>
        </is>
      </c>
      <c r="C3" s="2" t="n"/>
      <c r="F3" s="2" t="n"/>
      <c r="I3" s="2" t="n"/>
    </row>
    <row r="4">
      <c r="B4" s="2" t="inlineStr">
        <is>
          <t>log_price</t>
        </is>
      </c>
      <c r="C4" s="57" t="n">
        <v>-1.843181</v>
      </c>
      <c r="D4" s="58" t="n">
        <v>-1.843181</v>
      </c>
      <c r="E4" s="58" t="n">
        <v>-1.843181</v>
      </c>
      <c r="F4" s="57" t="n">
        <v>-1.89735318</v>
      </c>
      <c r="G4" s="58" t="n">
        <v>-1.89735318</v>
      </c>
      <c r="H4" s="58" t="n">
        <v>-1.89735318</v>
      </c>
      <c r="I4" s="2" t="n"/>
    </row>
    <row r="5">
      <c r="B5" s="2" t="inlineStr">
        <is>
          <t>feature_pctacv</t>
        </is>
      </c>
      <c r="C5" s="57" t="n">
        <v>0.2853082</v>
      </c>
      <c r="D5" s="58" t="n">
        <v>0.2853082</v>
      </c>
      <c r="E5" s="58" t="n">
        <v>0.2853082</v>
      </c>
      <c r="F5" s="57" t="n">
        <v>0</v>
      </c>
      <c r="G5" s="58" t="n">
        <v>0</v>
      </c>
      <c r="H5" s="58" t="n">
        <v>0</v>
      </c>
      <c r="I5" s="2" t="n"/>
    </row>
    <row r="6">
      <c r="B6" s="2" t="inlineStr">
        <is>
          <t>display_pctacv</t>
        </is>
      </c>
      <c r="C6" s="57" t="n">
        <v>0.8340966</v>
      </c>
      <c r="D6" s="58" t="n">
        <v>0.8340966</v>
      </c>
      <c r="E6" s="58" t="n">
        <v>0.8340966</v>
      </c>
      <c r="F6" s="57" t="n">
        <v>1.06946567</v>
      </c>
      <c r="G6" s="58" t="n">
        <v>1.06946567</v>
      </c>
      <c r="H6" s="58" t="n">
        <v>1.06946567</v>
      </c>
      <c r="I6" s="2" t="n"/>
    </row>
    <row r="7">
      <c r="B7" s="2" t="inlineStr">
        <is>
          <t>constant</t>
        </is>
      </c>
      <c r="C7" s="57" t="n">
        <v>9.521233799999999</v>
      </c>
      <c r="D7" s="58" t="n">
        <v>9.521233799999999</v>
      </c>
      <c r="E7" s="58" t="n">
        <v>9.521233799999999</v>
      </c>
      <c r="F7" s="57" t="n">
        <v>10.08881068</v>
      </c>
      <c r="G7" s="58" t="n">
        <v>10.08881068</v>
      </c>
      <c r="H7" s="58" t="n">
        <v>10.08881068</v>
      </c>
      <c r="I7" s="2" t="n"/>
    </row>
    <row r="8">
      <c r="B8" s="2" t="inlineStr">
        <is>
          <t>Variance_of_error_term</t>
        </is>
      </c>
      <c r="C8" s="57" t="n">
        <v>0.04086078</v>
      </c>
      <c r="D8" s="58" t="n">
        <v>0.04086078</v>
      </c>
      <c r="E8" s="58" t="n">
        <v>0.04086078</v>
      </c>
      <c r="F8" s="57" t="n">
        <v>0.02897501</v>
      </c>
      <c r="G8" s="58" t="n">
        <v>0.02897501</v>
      </c>
      <c r="H8" s="58" t="n">
        <v>0.02897501</v>
      </c>
      <c r="I8" s="2" t="n"/>
    </row>
    <row r="9">
      <c r="B9" s="9" t="n"/>
      <c r="C9" s="9" t="n"/>
      <c r="D9" s="14" t="n"/>
      <c r="E9" s="14" t="n"/>
      <c r="F9" s="9" t="n"/>
      <c r="G9" s="14" t="n"/>
      <c r="H9" s="14" t="n"/>
      <c r="I9" s="2" t="n"/>
    </row>
    <row r="10">
      <c r="B10" s="13" t="inlineStr">
        <is>
          <t>Event structure</t>
        </is>
      </c>
      <c r="C10" s="2" t="n"/>
      <c r="F10" s="2" t="n"/>
      <c r="I10" s="2" t="n"/>
    </row>
    <row r="11">
      <c r="B11" s="2" t="inlineStr">
        <is>
          <t>Price (% change)</t>
        </is>
      </c>
      <c r="C11" s="2" t="n">
        <v>-0.15</v>
      </c>
      <c r="D11" s="1" t="n">
        <v>-0.15</v>
      </c>
      <c r="E11" s="1" t="n">
        <v>-0.15</v>
      </c>
      <c r="F11" s="2" t="n">
        <v>-0.15</v>
      </c>
      <c r="G11" s="1" t="n">
        <v>-0.15</v>
      </c>
      <c r="H11" s="1" t="n">
        <v>-0.15</v>
      </c>
      <c r="I11" s="2" t="n"/>
    </row>
    <row r="12">
      <c r="B12" s="2" t="inlineStr">
        <is>
          <t>Feature</t>
        </is>
      </c>
      <c r="C12" s="2" t="n">
        <v>0</v>
      </c>
      <c r="D12" s="1" t="n">
        <v>0</v>
      </c>
      <c r="E12" s="1" t="n">
        <v>1</v>
      </c>
      <c r="F12" s="2" t="n">
        <v>0</v>
      </c>
      <c r="G12" s="1" t="n">
        <v>0</v>
      </c>
      <c r="H12" s="1" t="n">
        <v>1</v>
      </c>
      <c r="I12" s="2" t="n"/>
    </row>
    <row r="13">
      <c r="B13" s="9" t="inlineStr">
        <is>
          <t>Display</t>
        </is>
      </c>
      <c r="C13" s="9" t="n">
        <v>0</v>
      </c>
      <c r="D13" s="14" t="n">
        <v>0.7</v>
      </c>
      <c r="E13" s="14" t="n">
        <v>0.7</v>
      </c>
      <c r="F13" s="9" t="n">
        <v>0</v>
      </c>
      <c r="G13" s="14" t="n">
        <v>0.7</v>
      </c>
      <c r="H13" s="19" t="n">
        <v>0.7</v>
      </c>
      <c r="I13" s="2" t="n"/>
    </row>
    <row r="14">
      <c r="B14" s="13" t="inlineStr">
        <is>
          <t>Lift from event</t>
        </is>
      </c>
      <c r="C14" s="59" t="n">
        <v>1.349254</v>
      </c>
      <c r="D14" s="60" t="n">
        <v>2.419158</v>
      </c>
      <c r="E14" s="58" t="n">
        <v>3.217896</v>
      </c>
      <c r="F14" s="59" t="n">
        <v>1.361185</v>
      </c>
      <c r="G14" s="60" t="n">
        <v>2.877672</v>
      </c>
      <c r="H14" s="58" t="n">
        <v>2.877672</v>
      </c>
      <c r="I14" s="2" t="n"/>
    </row>
    <row r="15">
      <c r="B15" s="2" t="n"/>
      <c r="C15" s="2" t="n"/>
      <c r="F15" s="2" t="n"/>
      <c r="I15" s="2" t="n"/>
    </row>
    <row r="16">
      <c r="B16" s="15" t="inlineStr">
        <is>
          <t>Base price</t>
        </is>
      </c>
      <c r="C16" s="61" t="n">
        <v>1.2</v>
      </c>
      <c r="D16" s="62" t="n">
        <v>1.2</v>
      </c>
      <c r="E16" s="62" t="n">
        <v>1.2</v>
      </c>
      <c r="F16" s="61" t="n">
        <v>1.2</v>
      </c>
      <c r="G16" s="62" t="n">
        <v>1.2</v>
      </c>
      <c r="H16" s="62" t="n">
        <v>1.2</v>
      </c>
      <c r="I16" s="2" t="n"/>
    </row>
    <row r="17">
      <c r="B17" s="2" t="inlineStr">
        <is>
          <t>Promoted price</t>
        </is>
      </c>
      <c r="C17" s="61">
        <f>(1+C11)*C16</f>
        <v/>
      </c>
      <c r="D17" s="63">
        <f>(1+D11)*D16</f>
        <v/>
      </c>
      <c r="E17" s="63">
        <f>(1+E11)*E16</f>
        <v/>
      </c>
      <c r="F17" s="61">
        <f>(1+F11)*F16</f>
        <v/>
      </c>
      <c r="G17" s="63">
        <f>(1+G11)*G16</f>
        <v/>
      </c>
      <c r="H17" s="63">
        <f>(1+H11)*H16</f>
        <v/>
      </c>
      <c r="I17" s="2" t="n"/>
    </row>
    <row r="18">
      <c r="B18" s="2" t="inlineStr">
        <is>
          <t>Hellman's margin ($)</t>
        </is>
      </c>
      <c r="C18" s="61" t="n">
        <v>0.55</v>
      </c>
      <c r="D18" s="62" t="n">
        <v>0.55</v>
      </c>
      <c r="E18" s="62" t="n">
        <v>0.55</v>
      </c>
      <c r="F18" s="61" t="n">
        <v>0.55</v>
      </c>
      <c r="G18" s="62" t="n">
        <v>0.55</v>
      </c>
      <c r="H18" s="62" t="n">
        <v>0.55</v>
      </c>
      <c r="I18" s="2" t="n"/>
    </row>
    <row r="19">
      <c r="B19" s="2" t="inlineStr">
        <is>
          <t>Margin at promoted price</t>
        </is>
      </c>
      <c r="C19" s="61">
        <f>C18-(C16-C17)</f>
        <v/>
      </c>
      <c r="D19" s="61">
        <f>D18-(D16-D17)</f>
        <v/>
      </c>
      <c r="E19" s="61">
        <f>E18-(E16-E17)</f>
        <v/>
      </c>
      <c r="F19" s="61">
        <f>F18-(F16-F17)</f>
        <v/>
      </c>
      <c r="G19" s="61">
        <f>G18-(G16-G17)</f>
        <v/>
      </c>
      <c r="H19" s="61">
        <f>H18-(H16-H17)</f>
        <v/>
      </c>
      <c r="I19" s="2" t="n"/>
    </row>
    <row r="20">
      <c r="B20" s="9" t="n"/>
      <c r="C20" s="9" t="n"/>
      <c r="D20" s="14" t="n"/>
      <c r="E20" s="14" t="n"/>
      <c r="F20" s="9" t="n"/>
      <c r="G20" s="14" t="n"/>
      <c r="H20" s="14" t="n"/>
      <c r="I20" s="2" t="n"/>
    </row>
    <row r="21">
      <c r="B21" s="13" t="inlineStr">
        <is>
          <t>Units</t>
        </is>
      </c>
      <c r="C21" s="2" t="n"/>
      <c r="F21" s="2" t="n"/>
      <c r="I21" s="2" t="n"/>
    </row>
    <row r="22">
      <c r="B22" s="2" t="inlineStr">
        <is>
          <t>Baseline units</t>
        </is>
      </c>
      <c r="C22" s="64" t="n">
        <v>9952.834000000001</v>
      </c>
      <c r="D22" s="65" t="n">
        <v>9952.834000000001</v>
      </c>
      <c r="E22" s="65" t="n">
        <v>9952.834000000001</v>
      </c>
      <c r="F22" s="64" t="n">
        <v>17281.12</v>
      </c>
      <c r="G22" s="65" t="n">
        <v>17281.12</v>
      </c>
      <c r="H22" s="65" t="n">
        <v>17281.12</v>
      </c>
      <c r="I22" s="2" t="n"/>
    </row>
    <row r="23">
      <c r="B23" s="2" t="inlineStr">
        <is>
          <t>Incremental consumed units</t>
        </is>
      </c>
      <c r="C23" s="64">
        <f>C24-C22</f>
        <v/>
      </c>
      <c r="D23" s="65">
        <f>D24-D22</f>
        <v/>
      </c>
      <c r="E23" s="65">
        <f>E24-E22</f>
        <v/>
      </c>
      <c r="F23" s="64">
        <f>F24-F22</f>
        <v/>
      </c>
      <c r="G23" s="65">
        <f>G24-G22</f>
        <v/>
      </c>
      <c r="H23" s="65">
        <f>H24-H22</f>
        <v/>
      </c>
      <c r="I23" s="2" t="n"/>
    </row>
    <row r="24">
      <c r="B24" s="2" t="inlineStr">
        <is>
          <t>Total consumed units</t>
        </is>
      </c>
      <c r="C24" s="64">
        <f>C22*C14</f>
        <v/>
      </c>
      <c r="D24" s="65">
        <f>D22*D14</f>
        <v/>
      </c>
      <c r="E24" s="65">
        <f>E22*E14</f>
        <v/>
      </c>
      <c r="F24" s="64">
        <f>F22*F14</f>
        <v/>
      </c>
      <c r="G24" s="65">
        <f>G22*G14</f>
        <v/>
      </c>
      <c r="H24" s="65">
        <f>H22*H14</f>
        <v/>
      </c>
      <c r="I24" s="2" t="n"/>
    </row>
    <row r="25">
      <c r="B25" s="2" t="inlineStr">
        <is>
          <t>% baseline units forward buy</t>
        </is>
      </c>
      <c r="C25" s="12" t="n">
        <v>50</v>
      </c>
      <c r="D25" s="11" t="n">
        <v>50</v>
      </c>
      <c r="E25" s="11" t="n">
        <v>50</v>
      </c>
      <c r="F25" s="12" t="n">
        <v>50</v>
      </c>
      <c r="G25" s="11" t="n">
        <v>50</v>
      </c>
      <c r="H25" s="11" t="n">
        <v>50</v>
      </c>
      <c r="I25" s="2" t="n"/>
    </row>
    <row r="26">
      <c r="B26" s="2" t="inlineStr">
        <is>
          <t>Forward buy units</t>
        </is>
      </c>
      <c r="C26" s="64">
        <f>C22*C25/100</f>
        <v/>
      </c>
      <c r="D26" s="65">
        <f>D22*D25/100</f>
        <v/>
      </c>
      <c r="E26" s="65">
        <f>E22*E25/100</f>
        <v/>
      </c>
      <c r="F26" s="64">
        <f>F22*F25/100</f>
        <v/>
      </c>
      <c r="G26" s="65">
        <f>G22*G25/100</f>
        <v/>
      </c>
      <c r="H26" s="65">
        <f>H22*H25/100</f>
        <v/>
      </c>
      <c r="I26" s="2" t="n"/>
    </row>
    <row r="27">
      <c r="B27" s="9" t="inlineStr">
        <is>
          <t>Total purchased units</t>
        </is>
      </c>
      <c r="C27" s="66">
        <f>C24+C26</f>
        <v/>
      </c>
      <c r="D27" s="67">
        <f>D24+D26</f>
        <v/>
      </c>
      <c r="E27" s="67">
        <f>E24+E26</f>
        <v/>
      </c>
      <c r="F27" s="66">
        <f>F24+F26</f>
        <v/>
      </c>
      <c r="G27" s="67">
        <f>G24+G26</f>
        <v/>
      </c>
      <c r="H27" s="67">
        <f>H24+H26</f>
        <v/>
      </c>
      <c r="I27" s="2" t="n"/>
    </row>
    <row r="28">
      <c r="B28" s="13" t="inlineStr">
        <is>
          <t>Manufacturer promotion P&amp;L</t>
        </is>
      </c>
      <c r="C28" s="12" t="n"/>
      <c r="D28" s="11" t="n"/>
      <c r="E28" s="11" t="n"/>
      <c r="F28" s="12" t="n"/>
      <c r="G28" s="11" t="n"/>
      <c r="H28" s="11" t="n"/>
      <c r="I28" s="2" t="n"/>
    </row>
    <row r="29">
      <c r="B29" s="2" t="inlineStr">
        <is>
          <t>Incremental contribution</t>
        </is>
      </c>
      <c r="C29" s="61">
        <f>C19*C23</f>
        <v/>
      </c>
      <c r="D29" s="63">
        <f>D19*D23</f>
        <v/>
      </c>
      <c r="E29" s="63">
        <f>E19*E23</f>
        <v/>
      </c>
      <c r="F29" s="61">
        <f>F19*F23</f>
        <v/>
      </c>
      <c r="G29" s="63">
        <f>G19*G23</f>
        <v/>
      </c>
      <c r="H29" s="63">
        <f>H19*H23</f>
        <v/>
      </c>
      <c r="I29" s="2" t="n"/>
    </row>
    <row r="30">
      <c r="B30" s="2" t="inlineStr">
        <is>
          <t>Variable cost (consumed)</t>
        </is>
      </c>
      <c r="C30" s="61">
        <f>C22*(C16-C17)</f>
        <v/>
      </c>
      <c r="D30" s="63">
        <f>D22*(D16-D17)</f>
        <v/>
      </c>
      <c r="E30" s="63">
        <f>E22*(E16-E17)</f>
        <v/>
      </c>
      <c r="F30" s="61">
        <f>F22*(F16-F17)</f>
        <v/>
      </c>
      <c r="G30" s="63">
        <f>G22*(G16-G17)</f>
        <v/>
      </c>
      <c r="H30" s="63">
        <f>H22*(H16-H17)</f>
        <v/>
      </c>
      <c r="I30" s="2" t="n"/>
      <c r="J30" s="1" t="inlineStr">
        <is>
          <t>Hint: Remember we only took reduction in margin of baseline units as a cost</t>
        </is>
      </c>
    </row>
    <row r="31">
      <c r="B31" s="2" t="inlineStr">
        <is>
          <t>Fixed payment cost</t>
        </is>
      </c>
      <c r="C31" s="61" t="n">
        <v>0</v>
      </c>
      <c r="D31" s="63" t="n">
        <v>3000</v>
      </c>
      <c r="E31" s="63" t="n">
        <v>4500</v>
      </c>
      <c r="F31" s="61" t="n">
        <v>0</v>
      </c>
      <c r="G31" s="63" t="n">
        <v>5000</v>
      </c>
      <c r="H31" s="63" t="n">
        <v>6800</v>
      </c>
      <c r="I31" s="2" t="n"/>
    </row>
    <row r="32">
      <c r="B32" s="2" t="inlineStr">
        <is>
          <t>Forward buy cost</t>
        </is>
      </c>
      <c r="C32" s="61">
        <f>(C16-C17)*C26</f>
        <v/>
      </c>
      <c r="D32" s="63">
        <f>(D16-D17)*D26</f>
        <v/>
      </c>
      <c r="E32" s="63">
        <f>(E16-E17)*E26</f>
        <v/>
      </c>
      <c r="F32" s="61">
        <f>(F16-F17)*F26</f>
        <v/>
      </c>
      <c r="G32" s="63">
        <f>(G16-G17)*G26</f>
        <v/>
      </c>
      <c r="H32" s="63">
        <f>(H16-H17)*H26</f>
        <v/>
      </c>
      <c r="I32" s="2" t="n"/>
    </row>
    <row r="33">
      <c r="B33" s="2" t="inlineStr">
        <is>
          <t>Event cost</t>
        </is>
      </c>
      <c r="C33" s="61">
        <f>C30+C31+C32</f>
        <v/>
      </c>
      <c r="D33" s="63">
        <f>D30+D31+D32</f>
        <v/>
      </c>
      <c r="E33" s="68">
        <f>E30+E31+E32</f>
        <v/>
      </c>
      <c r="F33" s="63">
        <f>F30+F31+F32</f>
        <v/>
      </c>
      <c r="G33" s="63">
        <f>G30+G31+G32</f>
        <v/>
      </c>
      <c r="H33" s="68">
        <f>H30+H31+H32</f>
        <v/>
      </c>
      <c r="I33" s="2" t="n"/>
    </row>
    <row r="34">
      <c r="B34" s="9" t="inlineStr">
        <is>
          <t>Event gross contribution</t>
        </is>
      </c>
      <c r="C34" s="69">
        <f>C29-C33</f>
        <v/>
      </c>
      <c r="D34" s="70">
        <f>D29-D33</f>
        <v/>
      </c>
      <c r="E34" s="70">
        <f>E29-E33</f>
        <v/>
      </c>
      <c r="F34" s="69">
        <f>F29-F33</f>
        <v/>
      </c>
      <c r="G34" s="70">
        <f>G29-G33</f>
        <v/>
      </c>
      <c r="H34" s="71">
        <f>H29-H33</f>
        <v/>
      </c>
      <c r="I34" s="2" t="n"/>
    </row>
    <row r="35">
      <c r="B35" s="5" t="inlineStr">
        <is>
          <t>Event ROI</t>
        </is>
      </c>
      <c r="C35" s="72">
        <f>100*C34/C33</f>
        <v/>
      </c>
      <c r="D35" s="73">
        <f>100*D34/D33</f>
        <v/>
      </c>
      <c r="E35" s="73">
        <f>100*E34/E33</f>
        <v/>
      </c>
      <c r="F35" s="72">
        <f>100*F34/F33</f>
        <v/>
      </c>
      <c r="G35" s="73">
        <f>100*G34/G33</f>
        <v/>
      </c>
      <c r="H35" s="73">
        <f>100*H34/H33</f>
        <v/>
      </c>
      <c r="I35" s="2" t="n"/>
    </row>
    <row r="48">
      <c r="H48" s="2" t="n"/>
    </row>
  </sheetData>
  <pageMargins left="0.75" right="0.75" top="1" bottom="1" header="0.5" footer="0.5"/>
  <pageSetup orientation="portrait" horizontalDpi="4294967293" verticalDpi="429496729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48"/>
  <sheetViews>
    <sheetView workbookViewId="0">
      <pane xSplit="2" ySplit="10" topLeftCell="C11" activePane="bottomRight" state="frozen"/>
      <selection pane="topRight" activeCell="A1" sqref="A1"/>
      <selection pane="bottomLeft" activeCell="A1" sqref="A1"/>
      <selection pane="bottomRight" activeCell="C19" sqref="C19"/>
    </sheetView>
  </sheetViews>
  <sheetFormatPr baseColWidth="10" defaultColWidth="8.83203125" defaultRowHeight="16"/>
  <cols>
    <col width="2.33203125" customWidth="1" style="30" min="1" max="1"/>
    <col width="23.83203125" customWidth="1" style="30" min="2" max="2"/>
    <col width="8.83203125" customWidth="1" style="30" min="3" max="8"/>
    <col width="16.33203125" customWidth="1" style="30" min="9" max="9"/>
    <col width="24.6640625" customWidth="1" style="30" min="10" max="10"/>
    <col width="8.83203125" customWidth="1" style="30" min="11" max="16384"/>
  </cols>
  <sheetData>
    <row r="1">
      <c r="B1" s="29" t="n"/>
    </row>
    <row r="2">
      <c r="B2" s="31" t="n"/>
      <c r="C2" s="32" t="inlineStr">
        <is>
          <t>Dominick's</t>
        </is>
      </c>
      <c r="D2" s="33" t="n"/>
      <c r="E2" s="33" t="n"/>
      <c r="F2" s="32" t="inlineStr">
        <is>
          <t>Jewel-Osco</t>
        </is>
      </c>
      <c r="G2" s="34" t="n"/>
      <c r="H2" s="35" t="n"/>
      <c r="I2" s="36" t="n"/>
    </row>
    <row r="3">
      <c r="B3" s="37" t="inlineStr">
        <is>
          <t>Regression estimates</t>
        </is>
      </c>
      <c r="C3" s="36" t="n"/>
      <c r="F3" s="36" t="n"/>
      <c r="I3" s="36" t="n"/>
    </row>
    <row r="4">
      <c r="B4" s="36" t="inlineStr">
        <is>
          <t>log_price</t>
        </is>
      </c>
      <c r="C4" s="74" t="n">
        <v>-1.843181</v>
      </c>
      <c r="D4" s="75" t="n">
        <v>-1.843181</v>
      </c>
      <c r="E4" s="75" t="n">
        <v>-1.843181</v>
      </c>
      <c r="F4" s="74" t="n">
        <v>-1.89735318</v>
      </c>
      <c r="G4" s="75" t="n">
        <v>-1.89735318</v>
      </c>
      <c r="H4" s="75" t="n">
        <v>-1.89735318</v>
      </c>
      <c r="I4" s="36" t="n"/>
    </row>
    <row r="5">
      <c r="B5" s="36" t="inlineStr">
        <is>
          <t>feature_pctacv</t>
        </is>
      </c>
      <c r="C5" s="74" t="n">
        <v>0.2853082</v>
      </c>
      <c r="D5" s="75" t="n">
        <v>0.2853082</v>
      </c>
      <c r="E5" s="75" t="n">
        <v>0.2853082</v>
      </c>
      <c r="F5" s="74" t="n">
        <v>0</v>
      </c>
      <c r="G5" s="75" t="n">
        <v>0</v>
      </c>
      <c r="H5" s="75" t="n">
        <v>0</v>
      </c>
      <c r="I5" s="36" t="n"/>
    </row>
    <row r="6">
      <c r="B6" s="36" t="inlineStr">
        <is>
          <t>display_pctacv</t>
        </is>
      </c>
      <c r="C6" s="74" t="n">
        <v>0.8340966</v>
      </c>
      <c r="D6" s="75" t="n">
        <v>0.8340966</v>
      </c>
      <c r="E6" s="75" t="n">
        <v>0.8340966</v>
      </c>
      <c r="F6" s="74" t="n">
        <v>1.06946567</v>
      </c>
      <c r="G6" s="75" t="n">
        <v>1.06946567</v>
      </c>
      <c r="H6" s="75" t="n">
        <v>1.06946567</v>
      </c>
      <c r="I6" s="36" t="n"/>
    </row>
    <row r="7">
      <c r="B7" s="36" t="inlineStr">
        <is>
          <t>constant</t>
        </is>
      </c>
      <c r="C7" s="74" t="n">
        <v>9.521233799999999</v>
      </c>
      <c r="D7" s="75" t="n">
        <v>9.521233799999999</v>
      </c>
      <c r="E7" s="75" t="n">
        <v>9.521233799999999</v>
      </c>
      <c r="F7" s="74" t="n">
        <v>10.08881068</v>
      </c>
      <c r="G7" s="75" t="n">
        <v>10.08881068</v>
      </c>
      <c r="H7" s="75" t="n">
        <v>10.08881068</v>
      </c>
      <c r="I7" s="36" t="n"/>
    </row>
    <row r="8">
      <c r="B8" s="36" t="inlineStr">
        <is>
          <t>Variance_of_error_term</t>
        </is>
      </c>
      <c r="C8" s="74" t="n">
        <v>0.04086078</v>
      </c>
      <c r="D8" s="75" t="n">
        <v>0.04086078</v>
      </c>
      <c r="E8" s="75" t="n">
        <v>0.04086078</v>
      </c>
      <c r="F8" s="74" t="n">
        <v>0.02897501</v>
      </c>
      <c r="G8" s="75" t="n">
        <v>0.02897501</v>
      </c>
      <c r="H8" s="75" t="n">
        <v>0.02897501</v>
      </c>
      <c r="I8" s="36" t="n"/>
    </row>
    <row r="9">
      <c r="B9" s="42" t="n"/>
      <c r="C9" s="42" t="n"/>
      <c r="D9" s="43" t="n"/>
      <c r="E9" s="43" t="n"/>
      <c r="F9" s="42" t="n"/>
      <c r="G9" s="43" t="n"/>
      <c r="H9" s="43" t="n"/>
      <c r="I9" s="36" t="n"/>
    </row>
    <row r="10">
      <c r="B10" s="37" t="inlineStr">
        <is>
          <t>Event structure</t>
        </is>
      </c>
      <c r="C10" s="36" t="n"/>
      <c r="F10" s="36" t="n"/>
      <c r="I10" s="36" t="n"/>
    </row>
    <row r="11">
      <c r="B11" s="36" t="inlineStr">
        <is>
          <t>Price (% change)</t>
        </is>
      </c>
      <c r="C11" s="36" t="n">
        <v>-0.15</v>
      </c>
      <c r="D11" s="30" t="n">
        <v>-0.15</v>
      </c>
      <c r="E11" s="30" t="n">
        <v>-0.15</v>
      </c>
      <c r="F11" s="36" t="n">
        <v>-0.15</v>
      </c>
      <c r="G11" s="30" t="n">
        <v>-0.15</v>
      </c>
      <c r="H11" s="30" t="n">
        <v>-0.15</v>
      </c>
      <c r="I11" s="36" t="n"/>
    </row>
    <row r="12">
      <c r="B12" s="36" t="inlineStr">
        <is>
          <t>Feature</t>
        </is>
      </c>
      <c r="C12" s="36" t="n">
        <v>0</v>
      </c>
      <c r="D12" s="30" t="n">
        <v>0</v>
      </c>
      <c r="E12" s="30" t="n">
        <v>1</v>
      </c>
      <c r="F12" s="36" t="n">
        <v>0</v>
      </c>
      <c r="G12" s="30" t="n">
        <v>0</v>
      </c>
      <c r="H12" s="30" t="n">
        <v>1</v>
      </c>
      <c r="I12" s="36" t="n"/>
    </row>
    <row r="13">
      <c r="B13" s="42" t="inlineStr">
        <is>
          <t>Display</t>
        </is>
      </c>
      <c r="C13" s="42" t="n">
        <v>0</v>
      </c>
      <c r="D13" s="43" t="n">
        <v>0.7</v>
      </c>
      <c r="E13" s="43" t="n">
        <v>0.7</v>
      </c>
      <c r="F13" s="42" t="n">
        <v>0</v>
      </c>
      <c r="G13" s="43" t="n">
        <v>0.7</v>
      </c>
      <c r="H13" s="44" t="n">
        <v>0.7</v>
      </c>
      <c r="I13" s="36" t="n"/>
    </row>
    <row r="14">
      <c r="B14" s="37" t="inlineStr">
        <is>
          <t>Lift from event</t>
        </is>
      </c>
      <c r="C14" s="76" t="n">
        <v>1.349254</v>
      </c>
      <c r="D14" s="77" t="n">
        <v>2.419158</v>
      </c>
      <c r="E14" s="75" t="n">
        <v>3.217896</v>
      </c>
      <c r="F14" s="76" t="n">
        <v>1.361185</v>
      </c>
      <c r="G14" s="77" t="n">
        <v>2.877672</v>
      </c>
      <c r="H14" s="75" t="n">
        <v>2.877672</v>
      </c>
      <c r="I14" s="36" t="n"/>
    </row>
    <row r="15">
      <c r="B15" s="36" t="n"/>
      <c r="C15" s="36" t="n"/>
      <c r="F15" s="36" t="n"/>
      <c r="I15" s="36" t="n"/>
    </row>
    <row r="16">
      <c r="B16" s="48" t="inlineStr">
        <is>
          <t>Base price</t>
        </is>
      </c>
      <c r="C16" s="78" t="n">
        <v>1.2</v>
      </c>
      <c r="D16" s="62" t="n">
        <v>1.2</v>
      </c>
      <c r="E16" s="62" t="n">
        <v>1.2</v>
      </c>
      <c r="F16" s="78" t="n">
        <v>1.2</v>
      </c>
      <c r="G16" s="62" t="n">
        <v>1.2</v>
      </c>
      <c r="H16" s="62" t="n">
        <v>1.2</v>
      </c>
      <c r="I16" s="36" t="n"/>
    </row>
    <row r="17">
      <c r="B17" s="36" t="inlineStr">
        <is>
          <t>Promoted price</t>
        </is>
      </c>
      <c r="C17" s="78">
        <f>(1+C11)*C16</f>
        <v/>
      </c>
      <c r="D17" s="79">
        <f>(1+D11)*D16</f>
        <v/>
      </c>
      <c r="E17" s="79">
        <f>(1+E11)*E16</f>
        <v/>
      </c>
      <c r="F17" s="78">
        <f>(1+F11)*F16</f>
        <v/>
      </c>
      <c r="G17" s="79">
        <f>(1+G11)*G16</f>
        <v/>
      </c>
      <c r="H17" s="79">
        <f>(1+H11)*H16</f>
        <v/>
      </c>
      <c r="I17" s="36" t="n"/>
    </row>
    <row r="18">
      <c r="B18" s="36" t="inlineStr">
        <is>
          <t>Hellman's margin ($)</t>
        </is>
      </c>
      <c r="C18" s="78" t="n">
        <v>0.55</v>
      </c>
      <c r="D18" s="62" t="n">
        <v>0.55</v>
      </c>
      <c r="E18" s="62" t="n">
        <v>0.55</v>
      </c>
      <c r="F18" s="78" t="n">
        <v>0.55</v>
      </c>
      <c r="G18" s="62" t="n">
        <v>0.55</v>
      </c>
      <c r="H18" s="62" t="n">
        <v>0.55</v>
      </c>
      <c r="I18" s="36" t="n"/>
    </row>
    <row r="19">
      <c r="B19" s="36" t="inlineStr">
        <is>
          <t>Margin at promoted price</t>
        </is>
      </c>
      <c r="C19" s="78">
        <f>C18-(C16-C17)</f>
        <v/>
      </c>
      <c r="D19" s="78">
        <f>D18-(D16-D17)</f>
        <v/>
      </c>
      <c r="E19" s="78">
        <f>E18-(E16-E17)</f>
        <v/>
      </c>
      <c r="F19" s="78">
        <f>F18-(F16-F17)</f>
        <v/>
      </c>
      <c r="G19" s="78">
        <f>G18-(G16-G17)</f>
        <v/>
      </c>
      <c r="H19" s="78">
        <f>H18-(H16-H17)</f>
        <v/>
      </c>
      <c r="I19" s="36" t="n"/>
    </row>
    <row r="20">
      <c r="B20" s="42" t="n"/>
      <c r="C20" s="42" t="n"/>
      <c r="D20" s="43" t="n"/>
      <c r="E20" s="43" t="n"/>
      <c r="F20" s="42" t="n"/>
      <c r="G20" s="43" t="n"/>
      <c r="H20" s="43" t="n"/>
      <c r="I20" s="36" t="n"/>
    </row>
    <row r="21">
      <c r="B21" s="37" t="inlineStr">
        <is>
          <t>Units</t>
        </is>
      </c>
      <c r="C21" s="36" t="n"/>
      <c r="F21" s="36" t="n"/>
      <c r="I21" s="36" t="n"/>
    </row>
    <row r="22">
      <c r="B22" s="36" t="inlineStr">
        <is>
          <t>Baseline units</t>
        </is>
      </c>
      <c r="C22" s="80" t="n">
        <v>9952.834000000001</v>
      </c>
      <c r="D22" s="81" t="n">
        <v>9952.834000000001</v>
      </c>
      <c r="E22" s="81" t="n">
        <v>9952.834000000001</v>
      </c>
      <c r="F22" s="80" t="n">
        <v>17281.12</v>
      </c>
      <c r="G22" s="81" t="n">
        <v>17281.12</v>
      </c>
      <c r="H22" s="81" t="n">
        <v>17281.12</v>
      </c>
      <c r="I22" s="36" t="n"/>
    </row>
    <row r="23">
      <c r="B23" s="36" t="inlineStr">
        <is>
          <t>Incremental consumed units</t>
        </is>
      </c>
      <c r="C23" s="80">
        <f>C24-C22</f>
        <v/>
      </c>
      <c r="D23" s="81">
        <f>D24-D22</f>
        <v/>
      </c>
      <c r="E23" s="81">
        <f>E24-E22</f>
        <v/>
      </c>
      <c r="F23" s="80">
        <f>F24-F22</f>
        <v/>
      </c>
      <c r="G23" s="81">
        <f>G24-G22</f>
        <v/>
      </c>
      <c r="H23" s="81">
        <f>H24-H22</f>
        <v/>
      </c>
      <c r="I23" s="36" t="n"/>
    </row>
    <row r="24">
      <c r="B24" s="36" t="inlineStr">
        <is>
          <t>Total consumed units</t>
        </is>
      </c>
      <c r="C24" s="80">
        <f>C22*C14</f>
        <v/>
      </c>
      <c r="D24" s="81">
        <f>D22*D14</f>
        <v/>
      </c>
      <c r="E24" s="81">
        <f>E22*E14</f>
        <v/>
      </c>
      <c r="F24" s="80">
        <f>F22*F14</f>
        <v/>
      </c>
      <c r="G24" s="81">
        <f>G22*G14</f>
        <v/>
      </c>
      <c r="H24" s="81">
        <f>H22*H14</f>
        <v/>
      </c>
      <c r="I24" s="36" t="n"/>
    </row>
    <row r="25">
      <c r="B25" s="36" t="inlineStr">
        <is>
          <t>% baseline units forward buy</t>
        </is>
      </c>
      <c r="C25" s="49" t="n">
        <v>0</v>
      </c>
      <c r="D25" s="29" t="n">
        <v>0</v>
      </c>
      <c r="E25" s="29" t="n">
        <v>0</v>
      </c>
      <c r="F25" s="49" t="n">
        <v>0</v>
      </c>
      <c r="G25" s="29" t="n">
        <v>0</v>
      </c>
      <c r="H25" s="29" t="n">
        <v>0</v>
      </c>
      <c r="I25" s="36" t="n"/>
    </row>
    <row r="26">
      <c r="B26" s="36" t="inlineStr">
        <is>
          <t>Forward buy units</t>
        </is>
      </c>
      <c r="C26" s="80">
        <f>C22*C25/100</f>
        <v/>
      </c>
      <c r="D26" s="81">
        <f>D22*D25/100</f>
        <v/>
      </c>
      <c r="E26" s="81">
        <f>E22*E25/100</f>
        <v/>
      </c>
      <c r="F26" s="80">
        <f>F22*F25/100</f>
        <v/>
      </c>
      <c r="G26" s="81">
        <f>G22*G25/100</f>
        <v/>
      </c>
      <c r="H26" s="81">
        <f>H22*H25/100</f>
        <v/>
      </c>
      <c r="I26" s="36" t="n"/>
    </row>
    <row r="27">
      <c r="B27" s="42" t="inlineStr">
        <is>
          <t>Total purchased units</t>
        </is>
      </c>
      <c r="C27" s="82">
        <f>C24+C26</f>
        <v/>
      </c>
      <c r="D27" s="83">
        <f>D24+D26</f>
        <v/>
      </c>
      <c r="E27" s="83">
        <f>E24+E26</f>
        <v/>
      </c>
      <c r="F27" s="82">
        <f>F24+F26</f>
        <v/>
      </c>
      <c r="G27" s="83">
        <f>G24+G26</f>
        <v/>
      </c>
      <c r="H27" s="83">
        <f>H24+H26</f>
        <v/>
      </c>
      <c r="I27" s="36" t="n"/>
    </row>
    <row r="28">
      <c r="B28" s="37" t="inlineStr">
        <is>
          <t>Manufacturer promotion P&amp;L</t>
        </is>
      </c>
      <c r="C28" s="49" t="n"/>
      <c r="D28" s="29" t="n"/>
      <c r="E28" s="29" t="n"/>
      <c r="F28" s="49" t="n"/>
      <c r="G28" s="29" t="n"/>
      <c r="H28" s="29" t="n"/>
      <c r="I28" s="36" t="n"/>
    </row>
    <row r="29">
      <c r="B29" s="36" t="inlineStr">
        <is>
          <t>Incremental contribution</t>
        </is>
      </c>
      <c r="C29" s="78">
        <f>C19*C23</f>
        <v/>
      </c>
      <c r="D29" s="79">
        <f>D19*D23</f>
        <v/>
      </c>
      <c r="E29" s="79">
        <f>E19*E23</f>
        <v/>
      </c>
      <c r="F29" s="78">
        <f>F19*F23</f>
        <v/>
      </c>
      <c r="G29" s="79">
        <f>G19*G23</f>
        <v/>
      </c>
      <c r="H29" s="79">
        <f>H19*H23</f>
        <v/>
      </c>
      <c r="I29" s="36" t="n"/>
    </row>
    <row r="30">
      <c r="B30" s="36" t="inlineStr">
        <is>
          <t>Variable cost (consumed)</t>
        </is>
      </c>
      <c r="C30" s="78">
        <f>C22*(C16-C17)</f>
        <v/>
      </c>
      <c r="D30" s="79">
        <f>D22*(D16-D17)</f>
        <v/>
      </c>
      <c r="E30" s="79">
        <f>E22*(E16-E17)</f>
        <v/>
      </c>
      <c r="F30" s="78">
        <f>F22*(F16-F17)</f>
        <v/>
      </c>
      <c r="G30" s="79">
        <f>G22*(G16-G17)</f>
        <v/>
      </c>
      <c r="H30" s="79">
        <f>H22*(H16-H17)</f>
        <v/>
      </c>
      <c r="I30" s="36" t="n"/>
      <c r="J30" s="30" t="inlineStr">
        <is>
          <t>Hint: Remember we only took reduction in margin of baseline units as a cost</t>
        </is>
      </c>
    </row>
    <row r="31">
      <c r="B31" s="36" t="inlineStr">
        <is>
          <t>Fixed payment cost</t>
        </is>
      </c>
      <c r="C31" s="78" t="n">
        <v>0</v>
      </c>
      <c r="D31" s="79" t="n">
        <v>3000</v>
      </c>
      <c r="E31" s="79" t="n">
        <v>4500</v>
      </c>
      <c r="F31" s="78" t="n">
        <v>0</v>
      </c>
      <c r="G31" s="79" t="n">
        <v>5000</v>
      </c>
      <c r="H31" s="79" t="n">
        <v>6800</v>
      </c>
      <c r="I31" s="36" t="n"/>
    </row>
    <row r="32">
      <c r="B32" s="36" t="inlineStr">
        <is>
          <t>Forward buy cost</t>
        </is>
      </c>
      <c r="C32" s="78">
        <f>(C16-C17)*C26</f>
        <v/>
      </c>
      <c r="D32" s="79">
        <f>(D16-D17)*D26</f>
        <v/>
      </c>
      <c r="E32" s="79">
        <f>(E16-E17)*E26</f>
        <v/>
      </c>
      <c r="F32" s="78">
        <f>(F16-F17)*F26</f>
        <v/>
      </c>
      <c r="G32" s="79">
        <f>(G16-G17)*G26</f>
        <v/>
      </c>
      <c r="H32" s="79">
        <f>(H16-H17)*H26</f>
        <v/>
      </c>
      <c r="I32" s="36" t="n"/>
    </row>
    <row r="33">
      <c r="B33" s="36" t="inlineStr">
        <is>
          <t>Event cost</t>
        </is>
      </c>
      <c r="C33" s="78">
        <f>C30+C31+C32</f>
        <v/>
      </c>
      <c r="D33" s="79">
        <f>D30+D31+D32</f>
        <v/>
      </c>
      <c r="E33" s="84">
        <f>E30+E31+E32</f>
        <v/>
      </c>
      <c r="F33" s="79">
        <f>F30+F31+F32</f>
        <v/>
      </c>
      <c r="G33" s="79">
        <f>G30+G31+G32</f>
        <v/>
      </c>
      <c r="H33" s="84">
        <f>H30+H31+H32</f>
        <v/>
      </c>
      <c r="I33" s="36" t="n"/>
    </row>
    <row r="34">
      <c r="B34" s="42" t="inlineStr">
        <is>
          <t>Event gross contribution</t>
        </is>
      </c>
      <c r="C34" s="85">
        <f>C29-C33</f>
        <v/>
      </c>
      <c r="D34" s="86">
        <f>D29-D33</f>
        <v/>
      </c>
      <c r="E34" s="86">
        <f>E29-E33</f>
        <v/>
      </c>
      <c r="F34" s="85">
        <f>F29-F33</f>
        <v/>
      </c>
      <c r="G34" s="86">
        <f>G29-G33</f>
        <v/>
      </c>
      <c r="H34" s="87">
        <f>H29-H33</f>
        <v/>
      </c>
      <c r="I34" s="36" t="n"/>
    </row>
    <row r="35">
      <c r="B35" s="54" t="inlineStr">
        <is>
          <t>Event ROI</t>
        </is>
      </c>
      <c r="C35" s="88">
        <f>100*C34/C33</f>
        <v/>
      </c>
      <c r="D35" s="89">
        <f>100*D34/D33</f>
        <v/>
      </c>
      <c r="E35" s="89">
        <f>100*E34/E33</f>
        <v/>
      </c>
      <c r="F35" s="88">
        <f>100*F34/F33</f>
        <v/>
      </c>
      <c r="G35" s="89">
        <f>100*G34/G33</f>
        <v/>
      </c>
      <c r="H35" s="89">
        <f>100*H34/H33</f>
        <v/>
      </c>
      <c r="I35" s="36" t="n"/>
    </row>
    <row r="48">
      <c r="H48" s="3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2022-04-18T00:02:45Z</dcterms:created>
  <dcterms:modified xmlns:dcterms="http://purl.org/dc/terms/" xmlns:xsi="http://www.w3.org/2001/XMLSchema-instance" xsi:type="dcterms:W3CDTF">2026-05-30T17:33:05Z</dcterms:modified>
  <cp:lastModifiedBy>Microsoft Office User</cp:lastModifiedBy>
</cp:coreProperties>
</file>